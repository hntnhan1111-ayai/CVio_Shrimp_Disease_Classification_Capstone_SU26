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ingle Modules" sheetId="1" r:id="rId1"/>
    <sheet name="Combined Modules" sheetId="2" r:id="rId2"/>
    <sheet name="All Models" sheetId="3" r:id="rId3"/>
    <sheet name="Overview" sheetId="4" r:id="rId4"/>
    <sheet name="Metric Defini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<sst xmlns="http://schemas.openxmlformats.org/spreadsheetml/2006/main" count="222" uniqueCount="96">
  <si>
    <t>YOLO11n-seg Single Modules Attention Results</t>
  </si>
  <si>
    <t>Test-set comparison with baseline. Higher mAP is better; lower healthy FP is better.</t>
  </si>
  <si>
    <t>Group</t>
  </si>
  <si>
    <t>Model</t>
  </si>
  <si>
    <t>Description</t>
  </si>
  <si>
    <t>Box P</t>
  </si>
  <si>
    <t>Box R</t>
  </si>
  <si>
    <t>Box mAP50</t>
  </si>
  <si>
    <t>Box mAP50-95</t>
  </si>
  <si>
    <t>Mask P</t>
  </si>
  <si>
    <t>Mask R</t>
  </si>
  <si>
    <t>Mask mAP50</t>
  </si>
  <si>
    <t>Mask mAP50-95</t>
  </si>
  <si>
    <t>Labeled-only Mask mAP50</t>
  </si>
  <si>
    <t>Healthy FP Mask Rate</t>
  </si>
  <si>
    <t>Δ Mask mAP50 vs Baseline</t>
  </si>
  <si>
    <t>Δ Labeled-only Mask mAP50</t>
  </si>
  <si>
    <t>Rank by Test Mask mAP50</t>
  </si>
  <si>
    <t>Recommendation</t>
  </si>
  <si>
    <t>Single</t>
  </si>
  <si>
    <t>Baseline</t>
  </si>
  <si>
    <t>Baseline YOLO11n-seg</t>
  </si>
  <si>
    <t>Reference baseline / low FP</t>
  </si>
  <si>
    <t>SimAM</t>
  </si>
  <si>
    <t>Simple Parameter-Free Attention</t>
  </si>
  <si>
    <t>Low FP but lower mAP</t>
  </si>
  <si>
    <t>CA</t>
  </si>
  <si>
    <t>Coordinate Attention</t>
  </si>
  <si>
    <t>Not priority</t>
  </si>
  <si>
    <t>ECA</t>
  </si>
  <si>
    <t>Efficient Channel Attention</t>
  </si>
  <si>
    <t>Useful comparison</t>
  </si>
  <si>
    <t>CBAM</t>
  </si>
  <si>
    <t>Convolutional Block Attention Module</t>
  </si>
  <si>
    <t>EMA</t>
  </si>
  <si>
    <t>Efficient Multi-Scale Attention</t>
  </si>
  <si>
    <t>YOLO11n-seg Combined Modules Attention Results</t>
  </si>
  <si>
    <t>Combined</t>
  </si>
  <si>
    <t>SimAM + CA</t>
  </si>
  <si>
    <t>Coordinate Attention + SimAM</t>
  </si>
  <si>
    <t>Best mAP, monitor FP</t>
  </si>
  <si>
    <t>ECA + SimAM</t>
  </si>
  <si>
    <t>ECA followed by SimAM</t>
  </si>
  <si>
    <t>CA + EMA</t>
  </si>
  <si>
    <t>Coordinate Attention + EMA</t>
  </si>
  <si>
    <t>Balanced choice</t>
  </si>
  <si>
    <t>CBAM + SimAM</t>
  </si>
  <si>
    <t>CBAM followed by SimAM</t>
  </si>
  <si>
    <t>EMA + SimAM + CA</t>
  </si>
  <si>
    <t>CA -&gt; EMA -&gt; SimAM</t>
  </si>
  <si>
    <t>YOLO11n-seg Attention Modules: All Test Results</t>
  </si>
  <si>
    <t>Consolidated table for report writing. Includes baseline rows for both experiment groups.</t>
  </si>
  <si>
    <t>YOLO11n-seg Attention Comparison Report</t>
  </si>
  <si>
    <t>Category</t>
  </si>
  <si>
    <t>Best Model</t>
  </si>
  <si>
    <t>Best Test Mask mAP50</t>
  </si>
  <si>
    <t>Main Note</t>
  </si>
  <si>
    <t>Baseline Test Mask mAP50</t>
  </si>
  <si>
    <t>Gain vs Baseline</t>
  </si>
  <si>
    <t>Single modules</t>
  </si>
  <si>
    <t>Highest mAP among single modules</t>
  </si>
  <si>
    <t>Lightweight single</t>
  </si>
  <si>
    <t>Strong precision and lighter than EMA</t>
  </si>
  <si>
    <t>Combined modules</t>
  </si>
  <si>
    <t>Highest mAP overall</t>
  </si>
  <si>
    <t>Balanced combined</t>
  </si>
  <si>
    <t>Good mAP with lower FP than SimAM + CA</t>
  </si>
  <si>
    <t>Lowest FP single</t>
  </si>
  <si>
    <t>Low FP but weaker mAP</t>
  </si>
  <si>
    <t>Metric Definitions and Reading Guide</t>
  </si>
  <si>
    <t>Metric</t>
  </si>
  <si>
    <t>Meaning</t>
  </si>
  <si>
    <t>Better Direction</t>
  </si>
  <si>
    <t>Note</t>
  </si>
  <si>
    <t>Bounding-box precision</t>
  </si>
  <si>
    <t>Higher</t>
  </si>
  <si>
    <t>How many predicted boxes are correct.</t>
  </si>
  <si>
    <t>Bounding-box recall</t>
  </si>
  <si>
    <t>How many ground-truth objects are detected.</t>
  </si>
  <si>
    <t>Box mean Average Precision at IoU 0.50</t>
  </si>
  <si>
    <t>Detection quality at IoU 0.50.</t>
  </si>
  <si>
    <t>Box mAP averaged from IoU 0.50 to 0.95</t>
  </si>
  <si>
    <t>Stricter detection metric.</t>
  </si>
  <si>
    <t>Segmentation mask precision</t>
  </si>
  <si>
    <t>How accurate predicted masks are.</t>
  </si>
  <si>
    <t>Segmentation mask recall</t>
  </si>
  <si>
    <t>How many true masks are recovered.</t>
  </si>
  <si>
    <t>Mask mAP at IoU 0.50</t>
  </si>
  <si>
    <t>Main segmentation metric used for ranking.</t>
  </si>
  <si>
    <t>Mask mAP averaged from IoU 0.50 to 0.95</t>
  </si>
  <si>
    <t>Strict segmentation metric.</t>
  </si>
  <si>
    <t>Mask mAP50 on diseased/labeled test subset</t>
  </si>
  <si>
    <t>Excludes healthy images.</t>
  </si>
  <si>
    <t>Fraction of healthy test images with false-positive mask</t>
  </si>
  <si>
    <t>Lower</t>
  </si>
  <si>
    <t>Important for false alarm control.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</si>
</sst>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"/>
  </numFmts>
  <fonts count="25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i/>
      <sz val="11"/>
      <color rgb="FF33415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center" wrapText="1"/>
    </xf>
    <xf numFmtId="176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176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15803D"/>
      </font>
    </dxf>
    <dxf>
      <font>
        <b val="1"/>
        <color rgb="FFB91C1C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"Mask mAP50"</c:f>
              <c:strCache>
                <c:ptCount val="1"/>
                <c:pt idx="0">
                  <c:v>Mask mAP50</c:v>
                </c:pt>
              </c:strCache>
            </c:strRef>
          </c:tx>
          <c:invertIfNegative val="0"/>
          <c:dLbls>
            <c:delete val="1"/>
          </c:dLbls>
          <c:cat>
            <c:strRef>
              <c:f>'Single Modules'!$B$5:$B$10</c:f>
              <c:strCache>
                <c:ptCount val="6"/>
                <c:pt idx="0">
                  <c:v>Baseline</c:v>
                </c:pt>
                <c:pt idx="1">
                  <c:v>SimAM</c:v>
                </c:pt>
                <c:pt idx="2">
                  <c:v>CA</c:v>
                </c:pt>
                <c:pt idx="3">
                  <c:v>ECA</c:v>
                </c:pt>
                <c:pt idx="4">
                  <c:v>CBAM</c:v>
                </c:pt>
                <c:pt idx="5">
                  <c:v>EMA</c:v>
                </c:pt>
              </c:strCache>
            </c:strRef>
          </c:cat>
          <c:val>
            <c:numRef>
              <c:f>'Single Modules'!$J$5:$J$10</c:f>
              <c:numCache>
                <c:formatCode>0.000</c:formatCode>
                <c:ptCount val="6"/>
                <c:pt idx="0">
                  <c:v>0.401</c:v>
                </c:pt>
                <c:pt idx="1">
                  <c:v>0.358</c:v>
                </c:pt>
                <c:pt idx="2">
                  <c:v>0.428</c:v>
                </c:pt>
                <c:pt idx="3">
                  <c:v>0.439</c:v>
                </c:pt>
                <c:pt idx="4">
                  <c:v>0.319</c:v>
                </c:pt>
                <c:pt idx="5">
                  <c:v>0.466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3b634f-c966-4a77-a4e2-6a60788fd00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"Healthy FP Mask Rate"</c:f>
              <c:strCache>
                <c:ptCount val="1"/>
                <c:pt idx="0">
                  <c:v>Healthy FP Mask Rate</c:v>
                </c:pt>
              </c:strCache>
            </c:strRef>
          </c:tx>
          <c:invertIfNegative val="0"/>
          <c:dLbls>
            <c:delete val="1"/>
          </c:dLbls>
          <c:cat>
            <c:strRef>
              <c:f>'Single Modules'!$B$5:$B$10</c:f>
              <c:strCache>
                <c:ptCount val="6"/>
                <c:pt idx="0">
                  <c:v>Baseline</c:v>
                </c:pt>
                <c:pt idx="1">
                  <c:v>SimAM</c:v>
                </c:pt>
                <c:pt idx="2">
                  <c:v>CA</c:v>
                </c:pt>
                <c:pt idx="3">
                  <c:v>ECA</c:v>
                </c:pt>
                <c:pt idx="4">
                  <c:v>CBAM</c:v>
                </c:pt>
                <c:pt idx="5">
                  <c:v>EMA</c:v>
                </c:pt>
              </c:strCache>
            </c:strRef>
          </c:cat>
          <c:val>
            <c:numRef>
              <c:f>'Single Modules'!$M$5:$M$10</c:f>
              <c:numCache>
                <c:formatCode>0.000</c:formatCode>
                <c:ptCount val="6"/>
                <c:pt idx="0">
                  <c:v>0.195</c:v>
                </c:pt>
                <c:pt idx="1">
                  <c:v>0.122</c:v>
                </c:pt>
                <c:pt idx="2">
                  <c:v>0.39</c:v>
                </c:pt>
                <c:pt idx="3">
                  <c:v>0.341</c:v>
                </c:pt>
                <c:pt idx="4">
                  <c:v>0.171</c:v>
                </c:pt>
                <c:pt idx="5">
                  <c:v>0.39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87b5dc-542c-4264-bc67-f58309c9f58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"Mask mAP50"</c:f>
              <c:strCache>
                <c:ptCount val="1"/>
                <c:pt idx="0">
                  <c:v>Mask mAP50</c:v>
                </c:pt>
              </c:strCache>
            </c:strRef>
          </c:tx>
          <c:invertIfNegative val="0"/>
          <c:dLbls>
            <c:delete val="1"/>
          </c:dLbls>
          <c:cat>
            <c:strRef>
              <c:f>'Combined Modules'!$B$5:$B$10</c:f>
              <c:strCache>
                <c:ptCount val="6"/>
                <c:pt idx="0">
                  <c:v>Baseline</c:v>
                </c:pt>
                <c:pt idx="1">
                  <c:v>SimAM + CA</c:v>
                </c:pt>
                <c:pt idx="2">
                  <c:v>ECA + SimAM</c:v>
                </c:pt>
                <c:pt idx="3">
                  <c:v>CA + EMA</c:v>
                </c:pt>
                <c:pt idx="4">
                  <c:v>CBAM + SimAM</c:v>
                </c:pt>
                <c:pt idx="5">
                  <c:v>EMA + SimAM + CA</c:v>
                </c:pt>
              </c:strCache>
            </c:strRef>
          </c:cat>
          <c:val>
            <c:numRef>
              <c:f>'Combined Modules'!$J$5:$J$10</c:f>
              <c:numCache>
                <c:formatCode>0.000</c:formatCode>
                <c:ptCount val="6"/>
                <c:pt idx="0">
                  <c:v>0.401</c:v>
                </c:pt>
                <c:pt idx="1">
                  <c:v>0.495</c:v>
                </c:pt>
                <c:pt idx="2">
                  <c:v>0.402</c:v>
                </c:pt>
                <c:pt idx="3">
                  <c:v>0.454</c:v>
                </c:pt>
                <c:pt idx="4">
                  <c:v>0.44</c:v>
                </c:pt>
                <c:pt idx="5">
                  <c:v>0.405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8068ff-f0f3-46a3-964f-2926b90e84c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"Healthy FP Mask Rate"</c:f>
              <c:strCache>
                <c:ptCount val="1"/>
                <c:pt idx="0">
                  <c:v>Healthy FP Mask Rate</c:v>
                </c:pt>
              </c:strCache>
            </c:strRef>
          </c:tx>
          <c:invertIfNegative val="0"/>
          <c:dLbls>
            <c:delete val="1"/>
          </c:dLbls>
          <c:cat>
            <c:strRef>
              <c:f>'Combined Modules'!$B$5:$B$10</c:f>
              <c:strCache>
                <c:ptCount val="6"/>
                <c:pt idx="0">
                  <c:v>Baseline</c:v>
                </c:pt>
                <c:pt idx="1">
                  <c:v>SimAM + CA</c:v>
                </c:pt>
                <c:pt idx="2">
                  <c:v>ECA + SimAM</c:v>
                </c:pt>
                <c:pt idx="3">
                  <c:v>CA + EMA</c:v>
                </c:pt>
                <c:pt idx="4">
                  <c:v>CBAM + SimAM</c:v>
                </c:pt>
                <c:pt idx="5">
                  <c:v>EMA + SimAM + CA</c:v>
                </c:pt>
              </c:strCache>
            </c:strRef>
          </c:cat>
          <c:val>
            <c:numRef>
              <c:f>'Combined Modules'!$M$5:$M$10</c:f>
              <c:numCache>
                <c:formatCode>0.000</c:formatCode>
                <c:ptCount val="6"/>
                <c:pt idx="0">
                  <c:v>0.195</c:v>
                </c:pt>
                <c:pt idx="1">
                  <c:v>0.366</c:v>
                </c:pt>
                <c:pt idx="2">
                  <c:v>0.268</c:v>
                </c:pt>
                <c:pt idx="3">
                  <c:v>0.268</c:v>
                </c:pt>
                <c:pt idx="4">
                  <c:v>0.341</c:v>
                </c:pt>
                <c:pt idx="5">
                  <c:v>0.39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373fcd-ecab-4913-9d85-511337d2cde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>
      <xdr:nvGraphicFramePr>
        <xdr:cNvPr id="2" name="Chart"/>
        <xdr:cNvGraphicFramePr/>
      </xdr:nvGraphicFramePr>
      <xdr:xfrm>
        <a:off x="0" y="2644140"/>
        <a:ext cx="9296400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>
      <xdr:nvGraphicFramePr>
        <xdr:cNvPr id="3" name="Chart"/>
        <xdr:cNvGraphicFramePr/>
      </xdr:nvGraphicFramePr>
      <xdr:xfrm>
        <a:off x="9296400" y="2644140"/>
        <a:ext cx="11734800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>
      <xdr:nvGraphicFramePr>
        <xdr:cNvPr id="2" name="Chart"/>
        <xdr:cNvGraphicFramePr/>
      </xdr:nvGraphicFramePr>
      <xdr:xfrm>
        <a:off x="0" y="2644140"/>
        <a:ext cx="9296400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>
      <xdr:nvGraphicFramePr>
        <xdr:cNvPr id="3" name="Chart"/>
        <xdr:cNvGraphicFramePr/>
      </xdr:nvGraphicFramePr>
      <xdr:xfrm>
        <a:off x="9296400" y="2644140"/>
        <a:ext cx="11734800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ingleModulesTable" displayName="SingleModulesTable" ref="A4:Q10">
  <tableColumns count="17">
    <tableColumn id="1" name="Group"/>
    <tableColumn id="2" name="Model"/>
    <tableColumn id="3" name="Description"/>
    <tableColumn id="4" name="Box P"/>
    <tableColumn id="5" name="Box R"/>
    <tableColumn id="6" name="Box mAP50"/>
    <tableColumn id="7" name="Box mAP50-95"/>
    <tableColumn id="8" name="Mask P"/>
    <tableColumn id="9" name="Mask R"/>
    <tableColumn id="10" name="Mask mAP50"/>
    <tableColumn id="11" name="Mask mAP50-95"/>
    <tableColumn id="12" name="Labeled-only Mask mAP50"/>
    <tableColumn id="13" name="Healthy FP Mask Rate"/>
    <tableColumn id="14" name="Δ Mask mAP50 vs Baseline"/>
    <tableColumn id="15" name="Δ Labeled-only Mask mAP50"/>
    <tableColumn id="16" name="Rank by Test Mask mAP50"/>
    <tableColumn id="17" name="Recommend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binedModulesTable" displayName="CombinedModulesTable" ref="A4:Q10">
  <tableColumns count="17">
    <tableColumn id="1" name="Group"/>
    <tableColumn id="2" name="Model"/>
    <tableColumn id="3" name="Description"/>
    <tableColumn id="4" name="Box P"/>
    <tableColumn id="5" name="Box R"/>
    <tableColumn id="6" name="Box mAP50"/>
    <tableColumn id="7" name="Box mAP50-95"/>
    <tableColumn id="8" name="Mask P"/>
    <tableColumn id="9" name="Mask R"/>
    <tableColumn id="10" name="Mask mAP50"/>
    <tableColumn id="11" name="Mask mAP50-95"/>
    <tableColumn id="12" name="Labeled-only Mask mAP50"/>
    <tableColumn id="13" name="Healthy FP Mask Rate"/>
    <tableColumn id="14" name="Δ Mask mAP50 vs Baseline"/>
    <tableColumn id="15" name="Δ Labeled-only Mask mAP50"/>
    <tableColumn id="16" name="Rank by Test Mask mAP50"/>
    <tableColumn id="17" name="Recommen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ModelsTable" displayName="AllModelsTable" ref="A4:Q16">
  <tableColumns count="17">
    <tableColumn id="1" name="Group"/>
    <tableColumn id="2" name="Model"/>
    <tableColumn id="3" name="Description"/>
    <tableColumn id="4" name="Box P"/>
    <tableColumn id="5" name="Box R"/>
    <tableColumn id="6" name="Box mAP50"/>
    <tableColumn id="7" name="Box mAP50-95"/>
    <tableColumn id="8" name="Mask P"/>
    <tableColumn id="9" name="Mask R"/>
    <tableColumn id="10" name="Mask mAP50"/>
    <tableColumn id="11" name="Mask mAP50-95"/>
    <tableColumn id="12" name="Labeled-only Mask mAP50"/>
    <tableColumn id="13" name="Healthy FP Mask Rate"/>
    <tableColumn id="14" name="Δ Mask mAP50 vs Baseline"/>
    <tableColumn id="15" name="Δ Labeled-only Mask mAP50"/>
    <tableColumn id="16" name="Rank by Test Mask mAP50"/>
    <tableColumn id="17" name="Recommend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verviewTable" displayName="OverviewTable" ref="A3:H8">
  <tableColumns count="8">
    <tableColumn id="1" name="Category"/>
    <tableColumn id="2" name="Best Model"/>
    <tableColumn id="3" name="Best Test Mask mAP50"/>
    <tableColumn id="4" name="Labeled-only Mask mAP50"/>
    <tableColumn id="5" name="Healthy FP Mask Rate"/>
    <tableColumn id="6" name="Main Note"/>
    <tableColumn id="7" name="Baseline Test Mask mAP50"/>
    <tableColumn id="8" name="Gain vs Baseli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ricDefinitionsTable" displayName="MetricDefinitionsTable" ref="A3:D13">
  <tableColumns count="4">
    <tableColumn id="1" name="Metric"/>
    <tableColumn id="2" name="Meaning"/>
    <tableColumn id="3" name="Better Direction"/>
    <tableColumn id="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A1:Q1"/>
    </sheetView>
  </sheetViews>
  <sheetFormatPr defaultColWidth="9" defaultRowHeight="13.8"/>
  <cols>
    <col min="1" max="1" width="12" customWidth="1"/>
    <col min="2" max="2" width="20" customWidth="1"/>
    <col min="3" max="3" width="34" customWidth="1"/>
    <col min="4" max="5" width="10" customWidth="1"/>
    <col min="6" max="6" width="12" customWidth="1"/>
    <col min="7" max="7" width="14" customWidth="1"/>
    <col min="8" max="9" width="10" customWidth="1"/>
    <col min="10" max="10" width="13" customWidth="1"/>
    <col min="11" max="11" width="15" customWidth="1"/>
    <col min="12" max="12" width="20" customWidth="1"/>
    <col min="13" max="14" width="18" customWidth="1"/>
    <col min="15" max="15" width="22" customWidth="1"/>
    <col min="16" max="16" width="14" customWidth="1"/>
    <col min="17" max="17" width="24" customWidth="1"/>
  </cols>
  <sheetData>
    <row r="1" ht="28" customHeight="1" spans="1:17">
      <c r="A1" s="7" t="s">
        <v>0</v>
      </c>
    </row>
    <row r="2" ht="22" customHeight="1" spans="1:17">
      <c r="A2" s="8" t="s">
        <v>1</v>
      </c>
    </row>
    <row r="4" ht="34" customHeight="1" spans="1:1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</row>
    <row r="5" spans="1:17">
      <c r="A5" s="10" t="s">
        <v>19</v>
      </c>
      <c r="B5" s="10" t="s">
        <v>20</v>
      </c>
      <c r="C5" s="10" t="s">
        <v>21</v>
      </c>
      <c r="D5" s="11">
        <v>0.545</v>
      </c>
      <c r="E5" s="11">
        <v>0.536</v>
      </c>
      <c r="F5" s="11">
        <v>0.476</v>
      </c>
      <c r="G5" s="11">
        <v>0.172</v>
      </c>
      <c r="H5" s="11">
        <v>0.504</v>
      </c>
      <c r="I5" s="11">
        <v>0.492</v>
      </c>
      <c r="J5" s="11">
        <v>0.401</v>
      </c>
      <c r="K5" s="11">
        <v>0.131</v>
      </c>
      <c r="L5" s="11">
        <v>0.42</v>
      </c>
      <c r="M5" s="11">
        <v>0.195</v>
      </c>
      <c r="N5" s="11">
        <f t="shared" ref="N5:N10" si="0">J5-$J$5</f>
        <v>0</v>
      </c>
      <c r="O5" s="11">
        <f t="shared" ref="O5:O10" si="1">L5-$L$5</f>
        <v>0</v>
      </c>
      <c r="P5" s="12">
        <v>4</v>
      </c>
      <c r="Q5" s="10" t="s">
        <v>22</v>
      </c>
    </row>
    <row r="6" spans="1:17">
      <c r="A6" s="10" t="s">
        <v>19</v>
      </c>
      <c r="B6" s="10" t="s">
        <v>23</v>
      </c>
      <c r="C6" s="10" t="s">
        <v>24</v>
      </c>
      <c r="D6" s="11">
        <v>0.529</v>
      </c>
      <c r="E6" s="11">
        <v>0.465</v>
      </c>
      <c r="F6" s="11">
        <v>0.459</v>
      </c>
      <c r="G6" s="11">
        <v>0.155</v>
      </c>
      <c r="H6" s="11">
        <v>0.466</v>
      </c>
      <c r="I6" s="11">
        <v>0.405</v>
      </c>
      <c r="J6" s="11">
        <v>0.358</v>
      </c>
      <c r="K6" s="11">
        <v>0.105</v>
      </c>
      <c r="L6" s="11">
        <v>0.368</v>
      </c>
      <c r="M6" s="11">
        <v>0.122</v>
      </c>
      <c r="N6" s="11">
        <f t="shared" si="0"/>
        <v>-0.043</v>
      </c>
      <c r="O6" s="11">
        <f t="shared" si="1"/>
        <v>-0.052</v>
      </c>
      <c r="P6" s="12">
        <v>5</v>
      </c>
      <c r="Q6" s="10" t="s">
        <v>25</v>
      </c>
    </row>
    <row r="7" spans="1:17">
      <c r="A7" s="10" t="s">
        <v>19</v>
      </c>
      <c r="B7" s="10" t="s">
        <v>26</v>
      </c>
      <c r="C7" s="10" t="s">
        <v>27</v>
      </c>
      <c r="D7" s="11">
        <v>0.648</v>
      </c>
      <c r="E7" s="11">
        <v>0.381</v>
      </c>
      <c r="F7" s="11">
        <v>0.455</v>
      </c>
      <c r="G7" s="11">
        <v>0.166</v>
      </c>
      <c r="H7" s="11">
        <v>0.536</v>
      </c>
      <c r="I7" s="11">
        <v>0.405</v>
      </c>
      <c r="J7" s="11">
        <v>0.428</v>
      </c>
      <c r="K7" s="11">
        <v>0.141</v>
      </c>
      <c r="L7" s="11">
        <v>0.464</v>
      </c>
      <c r="M7" s="11">
        <v>0.39</v>
      </c>
      <c r="N7" s="11">
        <f t="shared" si="0"/>
        <v>0.027</v>
      </c>
      <c r="O7" s="11">
        <f t="shared" si="1"/>
        <v>0.044</v>
      </c>
      <c r="P7" s="12">
        <v>3</v>
      </c>
      <c r="Q7" s="10" t="s">
        <v>28</v>
      </c>
    </row>
    <row r="8" spans="1:17">
      <c r="A8" s="10" t="s">
        <v>19</v>
      </c>
      <c r="B8" s="10" t="s">
        <v>29</v>
      </c>
      <c r="C8" s="10" t="s">
        <v>30</v>
      </c>
      <c r="D8" s="11">
        <v>0.693</v>
      </c>
      <c r="E8" s="11">
        <v>0.498</v>
      </c>
      <c r="F8" s="11">
        <v>0.518</v>
      </c>
      <c r="G8" s="11">
        <v>0.183</v>
      </c>
      <c r="H8" s="11">
        <v>0.616</v>
      </c>
      <c r="I8" s="11">
        <v>0.457</v>
      </c>
      <c r="J8" s="11">
        <v>0.439</v>
      </c>
      <c r="K8" s="11">
        <v>0.137</v>
      </c>
      <c r="L8" s="11">
        <v>0.474</v>
      </c>
      <c r="M8" s="11">
        <v>0.341</v>
      </c>
      <c r="N8" s="11">
        <f t="shared" si="0"/>
        <v>0.038</v>
      </c>
      <c r="O8" s="11">
        <f t="shared" si="1"/>
        <v>0.054</v>
      </c>
      <c r="P8" s="12">
        <v>2</v>
      </c>
      <c r="Q8" s="10" t="s">
        <v>31</v>
      </c>
    </row>
    <row r="9" spans="1:17">
      <c r="A9" s="10" t="s">
        <v>19</v>
      </c>
      <c r="B9" s="10" t="s">
        <v>32</v>
      </c>
      <c r="C9" s="10" t="s">
        <v>33</v>
      </c>
      <c r="D9" s="11">
        <v>0.496</v>
      </c>
      <c r="E9" s="11">
        <v>0.414</v>
      </c>
      <c r="F9" s="11">
        <v>0.4</v>
      </c>
      <c r="G9" s="11">
        <v>0.131</v>
      </c>
      <c r="H9" s="11">
        <v>0.403</v>
      </c>
      <c r="I9" s="11">
        <v>0.353</v>
      </c>
      <c r="J9" s="11">
        <v>0.319</v>
      </c>
      <c r="K9" s="11">
        <v>0.087</v>
      </c>
      <c r="L9" s="11">
        <v>0.348</v>
      </c>
      <c r="M9" s="11">
        <v>0.171</v>
      </c>
      <c r="N9" s="11">
        <f t="shared" si="0"/>
        <v>-0.082</v>
      </c>
      <c r="O9" s="11">
        <f t="shared" si="1"/>
        <v>-0.072</v>
      </c>
      <c r="P9" s="12">
        <v>6</v>
      </c>
      <c r="Q9" s="10" t="s">
        <v>28</v>
      </c>
    </row>
    <row r="10" spans="1:17">
      <c r="A10" s="10" t="s">
        <v>19</v>
      </c>
      <c r="B10" s="10" t="s">
        <v>34</v>
      </c>
      <c r="C10" s="10" t="s">
        <v>35</v>
      </c>
      <c r="D10" s="11">
        <v>0.685</v>
      </c>
      <c r="E10" s="11">
        <v>0.511</v>
      </c>
      <c r="F10" s="11">
        <v>0.548</v>
      </c>
      <c r="G10" s="11">
        <v>0.196</v>
      </c>
      <c r="H10" s="11">
        <v>0.569</v>
      </c>
      <c r="I10" s="11">
        <v>0.485</v>
      </c>
      <c r="J10" s="11">
        <v>0.466</v>
      </c>
      <c r="K10" s="11">
        <v>0.139</v>
      </c>
      <c r="L10" s="11">
        <v>0.508</v>
      </c>
      <c r="M10" s="11">
        <v>0.39</v>
      </c>
      <c r="N10" s="11">
        <f t="shared" si="0"/>
        <v>0.065</v>
      </c>
      <c r="O10" s="11">
        <f t="shared" si="1"/>
        <v>0.088</v>
      </c>
      <c r="P10" s="12">
        <v>1</v>
      </c>
      <c r="Q10" s="10" t="s">
        <v>31</v>
      </c>
    </row>
  </sheetData>
  <mergeCells count="2">
    <mergeCell ref="A1:Q1"/>
    <mergeCell ref="A2:Q2"/>
  </mergeCells>
  <conditionalFormatting sqref="J5:J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5:L10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M5:M10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N5:O10">
    <cfRule type="cellIs" dxfId="0" priority="4" operator="greaterThan">
      <formula>0</formula>
    </cfRule>
    <cfRule type="cellIs" dxfId="1" priority="5" operator="lessThan">
      <formula>0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A1:Q1"/>
    </sheetView>
  </sheetViews>
  <sheetFormatPr defaultColWidth="9" defaultRowHeight="13.8"/>
  <cols>
    <col min="1" max="1" width="12" customWidth="1"/>
    <col min="2" max="2" width="20" customWidth="1"/>
    <col min="3" max="3" width="34" customWidth="1"/>
    <col min="4" max="5" width="10" customWidth="1"/>
    <col min="6" max="6" width="12" customWidth="1"/>
    <col min="7" max="7" width="14" customWidth="1"/>
    <col min="8" max="9" width="10" customWidth="1"/>
    <col min="10" max="10" width="13" customWidth="1"/>
    <col min="11" max="11" width="15" customWidth="1"/>
    <col min="12" max="12" width="20" customWidth="1"/>
    <col min="13" max="14" width="18" customWidth="1"/>
    <col min="15" max="15" width="22" customWidth="1"/>
    <col min="16" max="16" width="14" customWidth="1"/>
    <col min="17" max="17" width="24" customWidth="1"/>
  </cols>
  <sheetData>
    <row r="1" ht="28" customHeight="1" spans="1:17">
      <c r="A1" s="7" t="s">
        <v>36</v>
      </c>
    </row>
    <row r="2" ht="22" customHeight="1" spans="1:17">
      <c r="A2" s="8" t="s">
        <v>1</v>
      </c>
    </row>
    <row r="4" ht="34" customHeight="1" spans="1:1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</row>
    <row r="5" spans="1:17">
      <c r="A5" s="10" t="s">
        <v>37</v>
      </c>
      <c r="B5" s="10" t="s">
        <v>20</v>
      </c>
      <c r="C5" s="10" t="s">
        <v>21</v>
      </c>
      <c r="D5" s="11">
        <v>0.545</v>
      </c>
      <c r="E5" s="11">
        <v>0.536</v>
      </c>
      <c r="F5" s="11">
        <v>0.476</v>
      </c>
      <c r="G5" s="11">
        <v>0.172</v>
      </c>
      <c r="H5" s="11">
        <v>0.504</v>
      </c>
      <c r="I5" s="11">
        <v>0.492</v>
      </c>
      <c r="J5" s="11">
        <v>0.401</v>
      </c>
      <c r="K5" s="11">
        <v>0.131</v>
      </c>
      <c r="L5" s="11">
        <v>0.42</v>
      </c>
      <c r="M5" s="11">
        <v>0.195</v>
      </c>
      <c r="N5" s="11">
        <f t="shared" ref="N5:N10" si="0">J5-$J$5</f>
        <v>0</v>
      </c>
      <c r="O5" s="11">
        <f t="shared" ref="O5:O10" si="1">L5-$L$5</f>
        <v>0</v>
      </c>
      <c r="P5" s="12">
        <v>6</v>
      </c>
      <c r="Q5" s="10" t="s">
        <v>22</v>
      </c>
    </row>
    <row r="6" spans="1:17">
      <c r="A6" s="10" t="s">
        <v>37</v>
      </c>
      <c r="B6" s="10" t="s">
        <v>38</v>
      </c>
      <c r="C6" s="10" t="s">
        <v>39</v>
      </c>
      <c r="D6" s="11">
        <v>0.618</v>
      </c>
      <c r="E6" s="11">
        <v>0.558</v>
      </c>
      <c r="F6" s="11">
        <v>0.554</v>
      </c>
      <c r="G6" s="11">
        <v>0.225</v>
      </c>
      <c r="H6" s="11">
        <v>0.572</v>
      </c>
      <c r="I6" s="11">
        <v>0.522</v>
      </c>
      <c r="J6" s="11">
        <v>0.495</v>
      </c>
      <c r="K6" s="11">
        <v>0.173</v>
      </c>
      <c r="L6" s="11">
        <v>0.519</v>
      </c>
      <c r="M6" s="11">
        <v>0.366</v>
      </c>
      <c r="N6" s="11">
        <f t="shared" si="0"/>
        <v>0.094</v>
      </c>
      <c r="O6" s="11">
        <f t="shared" si="1"/>
        <v>0.099</v>
      </c>
      <c r="P6" s="12">
        <v>1</v>
      </c>
      <c r="Q6" s="10" t="s">
        <v>40</v>
      </c>
    </row>
    <row r="7" spans="1:17">
      <c r="A7" s="10" t="s">
        <v>37</v>
      </c>
      <c r="B7" s="10" t="s">
        <v>41</v>
      </c>
      <c r="C7" s="10" t="s">
        <v>42</v>
      </c>
      <c r="D7" s="11">
        <v>0.582</v>
      </c>
      <c r="E7" s="11">
        <v>0.479</v>
      </c>
      <c r="F7" s="11">
        <v>0.441</v>
      </c>
      <c r="G7" s="11">
        <v>0.188</v>
      </c>
      <c r="H7" s="11">
        <v>0.519</v>
      </c>
      <c r="I7" s="11">
        <v>0.426</v>
      </c>
      <c r="J7" s="11">
        <v>0.402</v>
      </c>
      <c r="K7" s="11">
        <v>0.134</v>
      </c>
      <c r="L7" s="11">
        <v>0.437</v>
      </c>
      <c r="M7" s="11">
        <v>0.268</v>
      </c>
      <c r="N7" s="11">
        <f t="shared" si="0"/>
        <v>0.001</v>
      </c>
      <c r="O7" s="11">
        <f t="shared" si="1"/>
        <v>0.017</v>
      </c>
      <c r="P7" s="12">
        <v>5</v>
      </c>
      <c r="Q7" s="10" t="s">
        <v>28</v>
      </c>
    </row>
    <row r="8" spans="1:17">
      <c r="A8" s="10" t="s">
        <v>37</v>
      </c>
      <c r="B8" s="10" t="s">
        <v>43</v>
      </c>
      <c r="C8" s="10" t="s">
        <v>44</v>
      </c>
      <c r="D8" s="11">
        <v>0.668</v>
      </c>
      <c r="E8" s="11">
        <v>0.516</v>
      </c>
      <c r="F8" s="11">
        <v>0.529</v>
      </c>
      <c r="G8" s="11">
        <v>0.197</v>
      </c>
      <c r="H8" s="11">
        <v>0.59</v>
      </c>
      <c r="I8" s="11">
        <v>0.465</v>
      </c>
      <c r="J8" s="11">
        <v>0.454</v>
      </c>
      <c r="K8" s="11">
        <v>0.152</v>
      </c>
      <c r="L8" s="11">
        <v>0.486</v>
      </c>
      <c r="M8" s="11">
        <v>0.268</v>
      </c>
      <c r="N8" s="11">
        <f t="shared" si="0"/>
        <v>0.053</v>
      </c>
      <c r="O8" s="11">
        <f t="shared" si="1"/>
        <v>0.066</v>
      </c>
      <c r="P8" s="12">
        <v>2</v>
      </c>
      <c r="Q8" s="10" t="s">
        <v>45</v>
      </c>
    </row>
    <row r="9" spans="1:17">
      <c r="A9" s="10" t="s">
        <v>37</v>
      </c>
      <c r="B9" s="10" t="s">
        <v>46</v>
      </c>
      <c r="C9" s="10" t="s">
        <v>47</v>
      </c>
      <c r="D9" s="11">
        <v>0.716</v>
      </c>
      <c r="E9" s="11">
        <v>0.484</v>
      </c>
      <c r="F9" s="11">
        <v>0.494</v>
      </c>
      <c r="G9" s="11">
        <v>0.188</v>
      </c>
      <c r="H9" s="11">
        <v>0.661</v>
      </c>
      <c r="I9" s="11">
        <v>0.468</v>
      </c>
      <c r="J9" s="11">
        <v>0.44</v>
      </c>
      <c r="K9" s="11">
        <v>0.133</v>
      </c>
      <c r="L9" s="11">
        <v>0.48</v>
      </c>
      <c r="M9" s="11">
        <v>0.341</v>
      </c>
      <c r="N9" s="11">
        <f t="shared" si="0"/>
        <v>0.039</v>
      </c>
      <c r="O9" s="11">
        <f t="shared" si="1"/>
        <v>0.06</v>
      </c>
      <c r="P9" s="12">
        <v>3</v>
      </c>
      <c r="Q9" s="10" t="s">
        <v>31</v>
      </c>
    </row>
    <row r="10" spans="1:17">
      <c r="A10" s="10" t="s">
        <v>37</v>
      </c>
      <c r="B10" s="10" t="s">
        <v>48</v>
      </c>
      <c r="C10" s="10" t="s">
        <v>49</v>
      </c>
      <c r="D10" s="11">
        <v>0.579</v>
      </c>
      <c r="E10" s="11">
        <v>0.468</v>
      </c>
      <c r="F10" s="11">
        <v>0.478</v>
      </c>
      <c r="G10" s="11">
        <v>0.196</v>
      </c>
      <c r="H10" s="11">
        <v>0.453</v>
      </c>
      <c r="I10" s="11">
        <v>0.455</v>
      </c>
      <c r="J10" s="11">
        <v>0.405</v>
      </c>
      <c r="K10" s="11">
        <v>0.141</v>
      </c>
      <c r="L10" s="11">
        <v>0.438</v>
      </c>
      <c r="M10" s="11">
        <v>0.39</v>
      </c>
      <c r="N10" s="11">
        <f t="shared" si="0"/>
        <v>0.004</v>
      </c>
      <c r="O10" s="11">
        <f t="shared" si="1"/>
        <v>0.018</v>
      </c>
      <c r="P10" s="12">
        <v>4</v>
      </c>
      <c r="Q10" s="10" t="s">
        <v>28</v>
      </c>
    </row>
  </sheetData>
  <mergeCells count="2">
    <mergeCell ref="A1:Q1"/>
    <mergeCell ref="A2:Q2"/>
  </mergeCells>
  <conditionalFormatting sqref="J5:J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5:L10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M5:M10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N5:O10">
    <cfRule type="cellIs" dxfId="0" priority="4" operator="greaterThan">
      <formula>0</formula>
    </cfRule>
    <cfRule type="cellIs" dxfId="1" priority="5" operator="lessThan">
      <formula>0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topLeftCell="B1" workbookViewId="0">
      <selection activeCell="A12" sqref="$A12:$XFD12"/>
    </sheetView>
  </sheetViews>
  <sheetFormatPr defaultColWidth="9" defaultRowHeight="13.8"/>
  <cols>
    <col min="1" max="1" width="12" customWidth="1"/>
    <col min="2" max="2" width="20" customWidth="1"/>
    <col min="3" max="3" width="34" customWidth="1"/>
    <col min="4" max="5" width="10" customWidth="1"/>
    <col min="6" max="6" width="12" customWidth="1"/>
    <col min="7" max="7" width="14" customWidth="1"/>
    <col min="8" max="9" width="10" customWidth="1"/>
    <col min="10" max="10" width="13" customWidth="1"/>
    <col min="11" max="11" width="15" customWidth="1"/>
    <col min="12" max="12" width="20" customWidth="1"/>
    <col min="13" max="14" width="18" customWidth="1"/>
    <col min="15" max="15" width="22" customWidth="1"/>
    <col min="16" max="16" width="14" customWidth="1"/>
    <col min="17" max="17" width="24" customWidth="1"/>
  </cols>
  <sheetData>
    <row r="1" ht="28" customHeight="1" spans="1:17">
      <c r="A1" s="7" t="s">
        <v>50</v>
      </c>
    </row>
    <row r="2" ht="22" customHeight="1" spans="1:17">
      <c r="A2" s="8" t="s">
        <v>51</v>
      </c>
    </row>
    <row r="4" ht="34" customHeight="1" spans="1:1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</row>
    <row r="5" spans="1:17">
      <c r="A5" s="3" t="s">
        <v>19</v>
      </c>
      <c r="B5" s="3" t="s">
        <v>20</v>
      </c>
      <c r="C5" s="3" t="s">
        <v>21</v>
      </c>
      <c r="D5" s="6">
        <v>0.545</v>
      </c>
      <c r="E5" s="6">
        <v>0.536</v>
      </c>
      <c r="F5" s="6">
        <v>0.476</v>
      </c>
      <c r="G5" s="6">
        <v>0.172</v>
      </c>
      <c r="H5" s="6">
        <v>0.504</v>
      </c>
      <c r="I5" s="6">
        <v>0.492</v>
      </c>
      <c r="J5" s="6">
        <v>0.401</v>
      </c>
      <c r="K5" s="6">
        <v>0.131</v>
      </c>
      <c r="L5" s="6">
        <v>0.42</v>
      </c>
      <c r="M5" s="6">
        <v>0.195</v>
      </c>
      <c r="N5" s="6">
        <f t="shared" ref="N5:N10" si="0">J5-$J$5</f>
        <v>0</v>
      </c>
      <c r="O5" s="6">
        <f t="shared" ref="O5:O10" si="1">L5-$L$5</f>
        <v>0</v>
      </c>
      <c r="P5" s="3">
        <v>4</v>
      </c>
      <c r="Q5" s="3" t="s">
        <v>22</v>
      </c>
    </row>
    <row r="6" spans="1:17">
      <c r="A6" s="3" t="s">
        <v>19</v>
      </c>
      <c r="B6" s="3" t="s">
        <v>23</v>
      </c>
      <c r="C6" s="3" t="s">
        <v>24</v>
      </c>
      <c r="D6" s="6">
        <v>0.529</v>
      </c>
      <c r="E6" s="6">
        <v>0.465</v>
      </c>
      <c r="F6" s="6">
        <v>0.459</v>
      </c>
      <c r="G6" s="6">
        <v>0.155</v>
      </c>
      <c r="H6" s="6">
        <v>0.466</v>
      </c>
      <c r="I6" s="6">
        <v>0.405</v>
      </c>
      <c r="J6" s="6">
        <v>0.358</v>
      </c>
      <c r="K6" s="6">
        <v>0.105</v>
      </c>
      <c r="L6" s="6">
        <v>0.368</v>
      </c>
      <c r="M6" s="6">
        <v>0.122</v>
      </c>
      <c r="N6" s="6">
        <f t="shared" si="0"/>
        <v>-0.043</v>
      </c>
      <c r="O6" s="6">
        <f t="shared" si="1"/>
        <v>-0.052</v>
      </c>
      <c r="P6" s="3">
        <v>5</v>
      </c>
      <c r="Q6" s="3" t="s">
        <v>25</v>
      </c>
    </row>
    <row r="7" spans="1:17">
      <c r="A7" s="3" t="s">
        <v>19</v>
      </c>
      <c r="B7" s="3" t="s">
        <v>26</v>
      </c>
      <c r="C7" s="3" t="s">
        <v>27</v>
      </c>
      <c r="D7" s="6">
        <v>0.648</v>
      </c>
      <c r="E7" s="6">
        <v>0.381</v>
      </c>
      <c r="F7" s="6">
        <v>0.455</v>
      </c>
      <c r="G7" s="6">
        <v>0.166</v>
      </c>
      <c r="H7" s="6">
        <v>0.536</v>
      </c>
      <c r="I7" s="6">
        <v>0.405</v>
      </c>
      <c r="J7" s="6">
        <v>0.428</v>
      </c>
      <c r="K7" s="6">
        <v>0.141</v>
      </c>
      <c r="L7" s="6">
        <v>0.464</v>
      </c>
      <c r="M7" s="6">
        <v>0.39</v>
      </c>
      <c r="N7" s="6">
        <f t="shared" si="0"/>
        <v>0.027</v>
      </c>
      <c r="O7" s="6">
        <f t="shared" si="1"/>
        <v>0.044</v>
      </c>
      <c r="P7" s="3">
        <v>3</v>
      </c>
      <c r="Q7" s="3" t="s">
        <v>28</v>
      </c>
    </row>
    <row r="8" spans="1:17">
      <c r="A8" s="3" t="s">
        <v>19</v>
      </c>
      <c r="B8" s="3" t="s">
        <v>29</v>
      </c>
      <c r="C8" s="3" t="s">
        <v>30</v>
      </c>
      <c r="D8" s="6">
        <v>0.693</v>
      </c>
      <c r="E8" s="6">
        <v>0.498</v>
      </c>
      <c r="F8" s="6">
        <v>0.518</v>
      </c>
      <c r="G8" s="6">
        <v>0.183</v>
      </c>
      <c r="H8" s="6">
        <v>0.616</v>
      </c>
      <c r="I8" s="6">
        <v>0.457</v>
      </c>
      <c r="J8" s="6">
        <v>0.439</v>
      </c>
      <c r="K8" s="6">
        <v>0.137</v>
      </c>
      <c r="L8" s="6">
        <v>0.474</v>
      </c>
      <c r="M8" s="6">
        <v>0.341</v>
      </c>
      <c r="N8" s="6">
        <f t="shared" si="0"/>
        <v>0.038</v>
      </c>
      <c r="O8" s="6">
        <f t="shared" si="1"/>
        <v>0.054</v>
      </c>
      <c r="P8" s="3">
        <v>2</v>
      </c>
      <c r="Q8" s="3" t="s">
        <v>31</v>
      </c>
    </row>
    <row r="9" spans="1:17">
      <c r="A9" s="3" t="s">
        <v>19</v>
      </c>
      <c r="B9" s="3" t="s">
        <v>32</v>
      </c>
      <c r="C9" s="3" t="s">
        <v>33</v>
      </c>
      <c r="D9" s="6">
        <v>0.496</v>
      </c>
      <c r="E9" s="6">
        <v>0.414</v>
      </c>
      <c r="F9" s="6">
        <v>0.4</v>
      </c>
      <c r="G9" s="6">
        <v>0.131</v>
      </c>
      <c r="H9" s="6">
        <v>0.403</v>
      </c>
      <c r="I9" s="6">
        <v>0.353</v>
      </c>
      <c r="J9" s="6">
        <v>0.319</v>
      </c>
      <c r="K9" s="6">
        <v>0.087</v>
      </c>
      <c r="L9" s="6">
        <v>0.348</v>
      </c>
      <c r="M9" s="6">
        <v>0.171</v>
      </c>
      <c r="N9" s="6">
        <f t="shared" si="0"/>
        <v>-0.082</v>
      </c>
      <c r="O9" s="6">
        <f t="shared" si="1"/>
        <v>-0.072</v>
      </c>
      <c r="P9" s="3">
        <v>6</v>
      </c>
      <c r="Q9" s="3" t="s">
        <v>28</v>
      </c>
    </row>
    <row r="10" spans="1:17">
      <c r="A10" s="3" t="s">
        <v>19</v>
      </c>
      <c r="B10" s="3" t="s">
        <v>34</v>
      </c>
      <c r="C10" s="3" t="s">
        <v>35</v>
      </c>
      <c r="D10" s="6">
        <v>0.685</v>
      </c>
      <c r="E10" s="6">
        <v>0.511</v>
      </c>
      <c r="F10" s="6">
        <v>0.548</v>
      </c>
      <c r="G10" s="6">
        <v>0.196</v>
      </c>
      <c r="H10" s="6">
        <v>0.569</v>
      </c>
      <c r="I10" s="6">
        <v>0.485</v>
      </c>
      <c r="J10" s="6">
        <v>0.466</v>
      </c>
      <c r="K10" s="6">
        <v>0.139</v>
      </c>
      <c r="L10" s="6">
        <v>0.508</v>
      </c>
      <c r="M10" s="6">
        <v>0.39</v>
      </c>
      <c r="N10" s="6">
        <f t="shared" si="0"/>
        <v>0.065</v>
      </c>
      <c r="O10" s="6">
        <f t="shared" si="1"/>
        <v>0.088</v>
      </c>
      <c r="P10" s="3">
        <v>1</v>
      </c>
      <c r="Q10" s="3" t="s">
        <v>31</v>
      </c>
    </row>
    <row r="11" spans="1:17">
      <c r="A11" s="3" t="s">
        <v>37</v>
      </c>
      <c r="B11" s="3" t="s">
        <v>20</v>
      </c>
      <c r="C11" s="3" t="s">
        <v>21</v>
      </c>
      <c r="D11" s="6">
        <v>0.545</v>
      </c>
      <c r="E11" s="6">
        <v>0.536</v>
      </c>
      <c r="F11" s="6">
        <v>0.476</v>
      </c>
      <c r="G11" s="6">
        <v>0.172</v>
      </c>
      <c r="H11" s="6">
        <v>0.504</v>
      </c>
      <c r="I11" s="6">
        <v>0.492</v>
      </c>
      <c r="J11" s="6">
        <v>0.401</v>
      </c>
      <c r="K11" s="6">
        <v>0.131</v>
      </c>
      <c r="L11" s="6">
        <v>0.42</v>
      </c>
      <c r="M11" s="6">
        <v>0.195</v>
      </c>
      <c r="N11" s="6">
        <f t="shared" ref="N11:N16" si="2">J11-$J$11</f>
        <v>0</v>
      </c>
      <c r="O11" s="6">
        <f t="shared" ref="O11:O16" si="3">L11-$L$11</f>
        <v>0</v>
      </c>
      <c r="P11" s="3">
        <v>6</v>
      </c>
      <c r="Q11" s="3" t="s">
        <v>22</v>
      </c>
    </row>
    <row r="12" spans="1:17">
      <c r="A12" s="3" t="s">
        <v>37</v>
      </c>
      <c r="B12" s="3" t="s">
        <v>38</v>
      </c>
      <c r="C12" s="3" t="s">
        <v>39</v>
      </c>
      <c r="D12" s="6">
        <v>0.618</v>
      </c>
      <c r="E12" s="6">
        <v>0.558</v>
      </c>
      <c r="F12" s="6">
        <v>0.554</v>
      </c>
      <c r="G12" s="6">
        <v>0.225</v>
      </c>
      <c r="H12" s="6">
        <v>0.572</v>
      </c>
      <c r="I12" s="6">
        <v>0.522</v>
      </c>
      <c r="J12" s="6">
        <v>0.495</v>
      </c>
      <c r="K12" s="6">
        <v>0.173</v>
      </c>
      <c r="L12" s="6">
        <v>0.519</v>
      </c>
      <c r="M12" s="6">
        <v>0.366</v>
      </c>
      <c r="N12" s="6">
        <f t="shared" si="2"/>
        <v>0.094</v>
      </c>
      <c r="O12" s="6">
        <f t="shared" si="3"/>
        <v>0.099</v>
      </c>
      <c r="P12" s="3">
        <v>1</v>
      </c>
      <c r="Q12" s="3" t="s">
        <v>40</v>
      </c>
    </row>
    <row r="13" spans="1:17">
      <c r="A13" s="3" t="s">
        <v>37</v>
      </c>
      <c r="B13" s="3" t="s">
        <v>41</v>
      </c>
      <c r="C13" s="3" t="s">
        <v>42</v>
      </c>
      <c r="D13" s="6">
        <v>0.582</v>
      </c>
      <c r="E13" s="6">
        <v>0.479</v>
      </c>
      <c r="F13" s="6">
        <v>0.441</v>
      </c>
      <c r="G13" s="6">
        <v>0.188</v>
      </c>
      <c r="H13" s="6">
        <v>0.519</v>
      </c>
      <c r="I13" s="6">
        <v>0.426</v>
      </c>
      <c r="J13" s="6">
        <v>0.402</v>
      </c>
      <c r="K13" s="6">
        <v>0.134</v>
      </c>
      <c r="L13" s="6">
        <v>0.437</v>
      </c>
      <c r="M13" s="6">
        <v>0.268</v>
      </c>
      <c r="N13" s="6">
        <f t="shared" si="2"/>
        <v>0.001</v>
      </c>
      <c r="O13" s="6">
        <f t="shared" si="3"/>
        <v>0.017</v>
      </c>
      <c r="P13" s="3">
        <v>5</v>
      </c>
      <c r="Q13" s="3" t="s">
        <v>28</v>
      </c>
    </row>
    <row r="14" spans="1:17">
      <c r="A14" s="3" t="s">
        <v>37</v>
      </c>
      <c r="B14" s="3" t="s">
        <v>43</v>
      </c>
      <c r="C14" s="3" t="s">
        <v>44</v>
      </c>
      <c r="D14" s="6">
        <v>0.668</v>
      </c>
      <c r="E14" s="6">
        <v>0.516</v>
      </c>
      <c r="F14" s="6">
        <v>0.529</v>
      </c>
      <c r="G14" s="6">
        <v>0.197</v>
      </c>
      <c r="H14" s="6">
        <v>0.59</v>
      </c>
      <c r="I14" s="6">
        <v>0.465</v>
      </c>
      <c r="J14" s="6">
        <v>0.454</v>
      </c>
      <c r="K14" s="6">
        <v>0.152</v>
      </c>
      <c r="L14" s="6">
        <v>0.486</v>
      </c>
      <c r="M14" s="6">
        <v>0.268</v>
      </c>
      <c r="N14" s="6">
        <f t="shared" si="2"/>
        <v>0.053</v>
      </c>
      <c r="O14" s="6">
        <f t="shared" si="3"/>
        <v>0.066</v>
      </c>
      <c r="P14" s="3">
        <v>2</v>
      </c>
      <c r="Q14" s="3" t="s">
        <v>45</v>
      </c>
    </row>
    <row r="15" spans="1:17">
      <c r="A15" s="3" t="s">
        <v>37</v>
      </c>
      <c r="B15" s="3" t="s">
        <v>46</v>
      </c>
      <c r="C15" s="3" t="s">
        <v>47</v>
      </c>
      <c r="D15" s="6">
        <v>0.716</v>
      </c>
      <c r="E15" s="6">
        <v>0.484</v>
      </c>
      <c r="F15" s="6">
        <v>0.494</v>
      </c>
      <c r="G15" s="6">
        <v>0.188</v>
      </c>
      <c r="H15" s="6">
        <v>0.661</v>
      </c>
      <c r="I15" s="6">
        <v>0.468</v>
      </c>
      <c r="J15" s="6">
        <v>0.44</v>
      </c>
      <c r="K15" s="6">
        <v>0.133</v>
      </c>
      <c r="L15" s="6">
        <v>0.48</v>
      </c>
      <c r="M15" s="6">
        <v>0.341</v>
      </c>
      <c r="N15" s="6">
        <f t="shared" si="2"/>
        <v>0.039</v>
      </c>
      <c r="O15" s="6">
        <f t="shared" si="3"/>
        <v>0.06</v>
      </c>
      <c r="P15" s="3">
        <v>3</v>
      </c>
      <c r="Q15" s="3" t="s">
        <v>31</v>
      </c>
    </row>
    <row r="16" spans="1:17">
      <c r="A16" s="3" t="s">
        <v>37</v>
      </c>
      <c r="B16" s="3" t="s">
        <v>48</v>
      </c>
      <c r="C16" s="3" t="s">
        <v>49</v>
      </c>
      <c r="D16" s="6">
        <v>0.579</v>
      </c>
      <c r="E16" s="6">
        <v>0.468</v>
      </c>
      <c r="F16" s="6">
        <v>0.478</v>
      </c>
      <c r="G16" s="6">
        <v>0.196</v>
      </c>
      <c r="H16" s="6">
        <v>0.453</v>
      </c>
      <c r="I16" s="6">
        <v>0.455</v>
      </c>
      <c r="J16" s="6">
        <v>0.405</v>
      </c>
      <c r="K16" s="6">
        <v>0.141</v>
      </c>
      <c r="L16" s="6">
        <v>0.438</v>
      </c>
      <c r="M16" s="6">
        <v>0.39</v>
      </c>
      <c r="N16" s="6">
        <f t="shared" si="2"/>
        <v>0.004</v>
      </c>
      <c r="O16" s="6">
        <f t="shared" si="3"/>
        <v>0.018</v>
      </c>
      <c r="P16" s="3">
        <v>4</v>
      </c>
      <c r="Q16" s="3" t="s">
        <v>28</v>
      </c>
    </row>
  </sheetData>
  <mergeCells count="2">
    <mergeCell ref="A1:Q1"/>
    <mergeCell ref="A2:Q2"/>
  </mergeCells>
  <conditionalFormatting sqref="J5:J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M5:M16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H1"/>
    </sheetView>
  </sheetViews>
  <sheetFormatPr defaultColWidth="9" defaultRowHeight="13.8" outlineLevelRow="7" outlineLevelCol="7"/>
  <cols>
    <col min="1" max="1" width="18" customWidth="1"/>
    <col min="2" max="2" width="20" customWidth="1"/>
    <col min="3" max="3" width="18" customWidth="1"/>
    <col min="4" max="4" width="22" customWidth="1"/>
    <col min="5" max="5" width="18" customWidth="1"/>
    <col min="6" max="6" width="36" customWidth="1"/>
    <col min="7" max="7" width="20" customWidth="1"/>
    <col min="8" max="8" width="16" customWidth="1"/>
  </cols>
  <sheetData>
    <row r="1" ht="28" customHeight="1" spans="1:8">
      <c r="A1" s="4" t="s">
        <v>52</v>
      </c>
    </row>
    <row r="3" ht="30" customHeight="1" spans="1:8">
      <c r="A3" s="5" t="s">
        <v>53</v>
      </c>
      <c r="B3" s="5" t="s">
        <v>54</v>
      </c>
      <c r="C3" s="5" t="s">
        <v>55</v>
      </c>
      <c r="D3" s="5" t="s">
        <v>13</v>
      </c>
      <c r="E3" s="5" t="s">
        <v>14</v>
      </c>
      <c r="F3" s="5" t="s">
        <v>56</v>
      </c>
      <c r="G3" s="5" t="s">
        <v>57</v>
      </c>
      <c r="H3" s="5" t="s">
        <v>58</v>
      </c>
    </row>
    <row r="4" spans="1:8">
      <c r="A4" s="3" t="s">
        <v>59</v>
      </c>
      <c r="B4" s="3" t="s">
        <v>34</v>
      </c>
      <c r="C4" s="6">
        <v>0.466</v>
      </c>
      <c r="D4" s="6">
        <v>0.508</v>
      </c>
      <c r="E4" s="6">
        <v>0.39</v>
      </c>
      <c r="F4" s="3" t="s">
        <v>60</v>
      </c>
      <c r="G4" s="6">
        <v>0.401</v>
      </c>
      <c r="H4" s="6">
        <f>C4-G4</f>
        <v>0.065</v>
      </c>
    </row>
    <row r="5" spans="1:8">
      <c r="A5" s="3" t="s">
        <v>61</v>
      </c>
      <c r="B5" s="3" t="s">
        <v>29</v>
      </c>
      <c r="C5" s="6">
        <v>0.439</v>
      </c>
      <c r="D5" s="6">
        <v>0.474</v>
      </c>
      <c r="E5" s="6">
        <v>0.341</v>
      </c>
      <c r="F5" s="3" t="s">
        <v>62</v>
      </c>
      <c r="G5" s="6">
        <v>0.401</v>
      </c>
      <c r="H5" s="6">
        <f>C5-G5</f>
        <v>0.038</v>
      </c>
    </row>
    <row r="6" spans="1:8">
      <c r="A6" s="3" t="s">
        <v>63</v>
      </c>
      <c r="B6" s="3" t="s">
        <v>38</v>
      </c>
      <c r="C6" s="6">
        <v>0.495</v>
      </c>
      <c r="D6" s="6">
        <v>0.519</v>
      </c>
      <c r="E6" s="6">
        <v>0.366</v>
      </c>
      <c r="F6" s="3" t="s">
        <v>64</v>
      </c>
      <c r="G6" s="6">
        <v>0.401</v>
      </c>
      <c r="H6" s="6">
        <f>C6-G6</f>
        <v>0.094</v>
      </c>
    </row>
    <row r="7" spans="1:8">
      <c r="A7" s="3" t="s">
        <v>65</v>
      </c>
      <c r="B7" s="3" t="s">
        <v>43</v>
      </c>
      <c r="C7" s="6">
        <v>0.454</v>
      </c>
      <c r="D7" s="6">
        <v>0.486</v>
      </c>
      <c r="E7" s="6">
        <v>0.268</v>
      </c>
      <c r="F7" s="3" t="s">
        <v>66</v>
      </c>
      <c r="G7" s="6">
        <v>0.401</v>
      </c>
      <c r="H7" s="6">
        <f>C7-G7</f>
        <v>0.053</v>
      </c>
    </row>
    <row r="8" spans="1:8">
      <c r="A8" s="3" t="s">
        <v>67</v>
      </c>
      <c r="B8" s="3" t="s">
        <v>23</v>
      </c>
      <c r="C8" s="6">
        <v>0.358</v>
      </c>
      <c r="D8" s="6">
        <v>0.368</v>
      </c>
      <c r="E8" s="6">
        <v>0.122</v>
      </c>
      <c r="F8" s="3" t="s">
        <v>68</v>
      </c>
      <c r="G8" s="6">
        <v>0.401</v>
      </c>
      <c r="H8" s="6">
        <f>C8-G8</f>
        <v>-0.043</v>
      </c>
    </row>
  </sheetData>
  <mergeCells count="1">
    <mergeCell ref="A1:H1"/>
  </mergeCells>
  <conditionalFormatting sqref="H4:H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"/>
    </sheetView>
  </sheetViews>
  <sheetFormatPr defaultColWidth="9" defaultRowHeight="13.8" outlineLevelCol="3"/>
  <cols>
    <col min="1" max="1" width="24" customWidth="1"/>
    <col min="2" max="2" width="42" customWidth="1"/>
    <col min="3" max="3" width="18" customWidth="1"/>
    <col min="4" max="4" width="50" customWidth="1"/>
  </cols>
  <sheetData>
    <row r="1" ht="28" customHeight="1" spans="1:4">
      <c r="A1" s="1" t="s">
        <v>69</v>
      </c>
    </row>
    <row r="3" spans="1:4">
      <c r="A3" s="2" t="s">
        <v>70</v>
      </c>
      <c r="B3" s="2" t="s">
        <v>71</v>
      </c>
      <c r="C3" s="2" t="s">
        <v>72</v>
      </c>
      <c r="D3" s="2" t="s">
        <v>73</v>
      </c>
    </row>
    <row r="4" spans="1:4">
      <c r="A4" s="3" t="s">
        <v>5</v>
      </c>
      <c r="B4" s="3" t="s">
        <v>74</v>
      </c>
      <c r="C4" s="3" t="s">
        <v>75</v>
      </c>
      <c r="D4" s="3" t="s">
        <v>76</v>
      </c>
    </row>
    <row r="5" spans="1:4">
      <c r="A5" s="3" t="s">
        <v>6</v>
      </c>
      <c r="B5" s="3" t="s">
        <v>77</v>
      </c>
      <c r="C5" s="3" t="s">
        <v>75</v>
      </c>
      <c r="D5" s="3" t="s">
        <v>78</v>
      </c>
    </row>
    <row r="6" spans="1:4">
      <c r="A6" s="3" t="s">
        <v>7</v>
      </c>
      <c r="B6" s="3" t="s">
        <v>79</v>
      </c>
      <c r="C6" s="3" t="s">
        <v>75</v>
      </c>
      <c r="D6" s="3" t="s">
        <v>80</v>
      </c>
    </row>
    <row r="7" spans="1:4">
      <c r="A7" s="3" t="s">
        <v>8</v>
      </c>
      <c r="B7" s="3" t="s">
        <v>81</v>
      </c>
      <c r="C7" s="3" t="s">
        <v>75</v>
      </c>
      <c r="D7" s="3" t="s">
        <v>82</v>
      </c>
    </row>
    <row r="8" spans="1:4">
      <c r="A8" s="3" t="s">
        <v>9</v>
      </c>
      <c r="B8" s="3" t="s">
        <v>83</v>
      </c>
      <c r="C8" s="3" t="s">
        <v>75</v>
      </c>
      <c r="D8" s="3" t="s">
        <v>84</v>
      </c>
    </row>
    <row r="9" spans="1:4">
      <c r="A9" s="3" t="s">
        <v>10</v>
      </c>
      <c r="B9" s="3" t="s">
        <v>85</v>
      </c>
      <c r="C9" s="3" t="s">
        <v>75</v>
      </c>
      <c r="D9" s="3" t="s">
        <v>86</v>
      </c>
    </row>
    <row r="10" spans="1:4">
      <c r="A10" s="3" t="s">
        <v>11</v>
      </c>
      <c r="B10" s="3" t="s">
        <v>87</v>
      </c>
      <c r="C10" s="3" t="s">
        <v>75</v>
      </c>
      <c r="D10" s="3" t="s">
        <v>88</v>
      </c>
    </row>
    <row r="11" spans="1:4">
      <c r="A11" s="3" t="s">
        <v>12</v>
      </c>
      <c r="B11" s="3" t="s">
        <v>89</v>
      </c>
      <c r="C11" s="3" t="s">
        <v>75</v>
      </c>
      <c r="D11" s="3" t="s">
        <v>90</v>
      </c>
    </row>
    <row r="12" spans="1:4">
      <c r="A12" s="3" t="s">
        <v>13</v>
      </c>
      <c r="B12" s="3" t="s">
        <v>91</v>
      </c>
      <c r="C12" s="3" t="s">
        <v>75</v>
      </c>
      <c r="D12" s="3" t="s">
        <v>92</v>
      </c>
    </row>
    <row r="13" ht="27.6" spans="1:4">
      <c r="A13" s="3" t="s">
        <v>14</v>
      </c>
      <c r="B13" s="3" t="s">
        <v>93</v>
      </c>
      <c r="C13" s="3" t="s">
        <v>94</v>
      </c>
      <c r="D13" s="3" t="s">
        <v>95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Single Modules</vt:lpstr>
      <vt:lpstr>Combined Modules</vt:lpstr>
      <vt:lpstr>All Models</vt:lpstr>
      <vt:lpstr>Overview</vt:lpstr>
      <vt:lpstr>Metric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NHU</cp:lastModifiedBy>
  <dcterms:created xsi:type="dcterms:W3CDTF">2026-06-09T04:45:26Z</dcterms:created>
  <dcterms:modified xsi:type="dcterms:W3CDTF">2026-06-09T19:01:15Z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B5ED350A81564C8EBB47BA346F8A2700_12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